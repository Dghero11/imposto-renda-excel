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dgher\Downloads\"/>
    </mc:Choice>
  </mc:AlternateContent>
  <xr:revisionPtr revIDLastSave="0" documentId="13_ncr:1_{B2364CEE-FAA9-4931-A683-A4359F11A174}" xr6:coauthVersionLast="47" xr6:coauthVersionMax="47" xr10:uidLastSave="{00000000-0000-0000-0000-000000000000}"/>
  <bookViews>
    <workbookView xWindow="-108" yWindow="-108" windowWidth="23256" windowHeight="12456" tabRatio="655" xr2:uid="{5797CDCB-40D4-40CC-A11A-2B138F35013D}"/>
  </bookViews>
  <sheets>
    <sheet name="TÍTULAR" sheetId="1" r:id="rId1"/>
    <sheet name="INFORMES" sheetId="6" r:id="rId2"/>
    <sheet name="NOTAS" sheetId="7" r:id="rId3"/>
    <sheet name="TABELAS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<sst xmlns="http://schemas.openxmlformats.org/spreadsheetml/2006/main" count="100" uniqueCount="86">
  <si>
    <t xml:space="preserve">SYSTEM BY DIO 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</si>
  <si>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</si>
  <si>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</si>
  <si>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</si>
  <si>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</si>
  <si>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</si>
  <si>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</si>
  <si>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</si>
  <si>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</si>
  <si>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</si>
  <si>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</si>
  <si>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</si>
  <si>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</si>
  <si>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</si>
  <si>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</si>
  <si>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</si>
  <si>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</si>
  <si>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</si>
  <si>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</si>
  <si>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DIOGO HERO DE LIMA MARTINS</t>
  </si>
  <si>
    <t>dghero.martins@gmail.com</t>
  </si>
  <si>
    <t>(13) 99147-1290</t>
  </si>
  <si>
    <t>R. Barão de Paranapiacaba, - N° 139</t>
  </si>
  <si>
    <t>Rua Barão de Paranapiacaba, - N° 139</t>
  </si>
  <si>
    <t>Miriam Barros</t>
  </si>
  <si>
    <t>2. INFORMES DE RENDIMENTOS BANCÁRIOS</t>
  </si>
  <si>
    <t>preencha com seus dados atuais de cada banco</t>
  </si>
  <si>
    <t>BANCO</t>
  </si>
  <si>
    <t>VALOR ATUAL</t>
  </si>
  <si>
    <t>ANEXO</t>
  </si>
  <si>
    <t>001 - Banco do Brasil S.A.</t>
  </si>
  <si>
    <t>003 - Banco da Amazônia S.A.</t>
  </si>
  <si>
    <t>004 - Banco do Nordeste do Brasil S.A.</t>
  </si>
  <si>
    <t>007 - BNDES</t>
  </si>
  <si>
    <t>021 - Banestes S.A.</t>
  </si>
  <si>
    <t>025 - Banco Alfa S.A.</t>
  </si>
  <si>
    <t>029 - Banco Itaú Consignado S.A.</t>
  </si>
  <si>
    <t>033 - Banco Santander (Brasil) S.A.</t>
  </si>
  <si>
    <t>036 - Banco Bradesco BBI S.A.</t>
  </si>
  <si>
    <t>041 - Banrisul S.A.</t>
  </si>
  <si>
    <t>047 - Banco do Estado de Sergipe S.A.</t>
  </si>
  <si>
    <t>070 - BRB - Banco de Brasília S.A.</t>
  </si>
  <si>
    <t>077 - Banco Inter S.A.</t>
  </si>
  <si>
    <t>084 - Uniprime Norte do Paraná</t>
  </si>
  <si>
    <t>085 - Cecred (Ailos)</t>
  </si>
  <si>
    <t>097 - Credisis</t>
  </si>
  <si>
    <t>104 - Caixa Econômica Federal</t>
  </si>
  <si>
    <t>107 - Banco Bocom BBM S.A.</t>
  </si>
  <si>
    <t>121 - Banco Agibank S.A.</t>
  </si>
  <si>
    <t>133 - Cresol</t>
  </si>
  <si>
    <t>136 - Unicred</t>
  </si>
  <si>
    <t>197 - Stone Pagamentos S.A.</t>
  </si>
  <si>
    <t>208 - Banco BTG Pactual S.A.</t>
  </si>
  <si>
    <t>212 - Banco Original S.A.</t>
  </si>
  <si>
    <t>218 - Banco BS2 S.A.</t>
  </si>
  <si>
    <t>237 - Banco Bradesco S.A.</t>
  </si>
  <si>
    <t>246 - Banco ABC Brasil S.A.</t>
  </si>
  <si>
    <t>260 - Nu Pagamentos S.A. (Nubank)</t>
  </si>
  <si>
    <t>290 - PagSeguro Internet S.A.</t>
  </si>
  <si>
    <t>318 - Banco BMG S.A.</t>
  </si>
  <si>
    <t>323 - Mercado Pago</t>
  </si>
  <si>
    <t>336 - Banco C6 S.A.</t>
  </si>
  <si>
    <t>341 - Itaú Unibanco S.A.</t>
  </si>
  <si>
    <t>389 - Banco Mercantil do Brasil S.A.</t>
  </si>
  <si>
    <t>422 - Banco Safra S.A.</t>
  </si>
  <si>
    <t>623 - Banco PAN S.A.</t>
  </si>
  <si>
    <t>633 - Banco Rendimento S.A.</t>
  </si>
  <si>
    <t>652 - Itaú Unibanco Holding S.A.</t>
  </si>
  <si>
    <t>655 - Banco Votorantim S.A. (BV)</t>
  </si>
  <si>
    <t>707 - Banco Daycoval S.A.</t>
  </si>
  <si>
    <t>735 - Banco Neon S.A.</t>
  </si>
  <si>
    <t>748 - Banco Cooperativo Sicredi S.A.</t>
  </si>
  <si>
    <t>756 - Banco Cooperativo do Brasil S.A. (Bancoob)</t>
  </si>
  <si>
    <t>BANCOS</t>
  </si>
  <si>
    <t>diogo_2026.pdf</t>
  </si>
  <si>
    <t>1°banco</t>
  </si>
  <si>
    <t>2°banco</t>
  </si>
  <si>
    <t>3°banco</t>
  </si>
  <si>
    <t>TOTAL</t>
  </si>
  <si>
    <t>3. NOTAS BANCÁRIAS OU EXTRATO DE HOLERITES</t>
  </si>
  <si>
    <t>são todos os valores de entreda de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</si>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</sst>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1\2\3.\1\2\3.\1\2\3\-\2\2"/>
    <numFmt numFmtId="165" formatCode="000&quot;.&quot;000&quot;.&quot;000&quot;-&quot;00"/>
    <numFmt numFmtId="166" formatCode="&quot;R$&quot;\ #,##0.00"/>
    <numFmt numFmtId="167" formatCode="00000&quot;-&quot;000"/>
    <numFmt numFmtId="168" formatCode="&quot;(&quot;00&quot;)&quot;0000&quot;-&quot;0000"/>
    <numFmt numFmtId="169" formatCode="&quot;(&quot;00&quot;)&quot;00000&quot;-&quot;0000"/>
    <numFmt numFmtId="170" formatCode="mmmm\,\ yyyy;@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3" tint="9.9978637043366805E-2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1" fillId="0" borderId="1" xfId="1"/>
    <xf numFmtId="0" fontId="5" fillId="0" borderId="1" xfId="1" applyFont="1"/>
    <xf numFmtId="0" fontId="7" fillId="4" borderId="2" xfId="0" applyFont="1" applyFill="1" applyBorder="1" applyAlignment="1">
      <alignment horizontal="right"/>
    </xf>
    <xf numFmtId="0" fontId="4" fillId="2" borderId="0" xfId="0" applyFont="1" applyFill="1"/>
    <xf numFmtId="0" fontId="11" fillId="0" borderId="0" xfId="0" applyFont="1"/>
    <xf numFmtId="0" fontId="10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7" borderId="0" xfId="0" applyFill="1"/>
    <xf numFmtId="0" fontId="2" fillId="7" borderId="0" xfId="0" applyFont="1" applyFill="1" applyAlignment="1">
      <alignment horizontal="center"/>
    </xf>
    <xf numFmtId="0" fontId="0" fillId="5" borderId="2" xfId="0" applyFill="1" applyBorder="1" applyAlignment="1" applyProtection="1">
      <alignment horizontal="left"/>
      <protection locked="0"/>
    </xf>
    <xf numFmtId="165" fontId="0" fillId="5" borderId="2" xfId="0" applyNumberFormat="1" applyFill="1" applyBorder="1" applyAlignment="1" applyProtection="1">
      <alignment horizontal="left"/>
      <protection locked="0"/>
    </xf>
    <xf numFmtId="14" fontId="0" fillId="5" borderId="2" xfId="0" applyNumberFormat="1" applyFill="1" applyBorder="1" applyAlignment="1" applyProtection="1">
      <alignment horizontal="left"/>
      <protection locked="0"/>
    </xf>
    <xf numFmtId="167" fontId="0" fillId="5" borderId="2" xfId="0" applyNumberFormat="1" applyFill="1" applyBorder="1" applyAlignment="1" applyProtection="1">
      <alignment horizontal="left"/>
      <protection locked="0"/>
    </xf>
    <xf numFmtId="168" fontId="0" fillId="5" borderId="2" xfId="0" applyNumberFormat="1" applyFill="1" applyBorder="1" applyAlignment="1" applyProtection="1">
      <alignment horizontal="left"/>
      <protection locked="0"/>
    </xf>
    <xf numFmtId="169" fontId="0" fillId="5" borderId="2" xfId="0" applyNumberFormat="1" applyFill="1" applyBorder="1" applyAlignment="1" applyProtection="1">
      <alignment horizontal="left"/>
      <protection locked="0"/>
    </xf>
    <xf numFmtId="0" fontId="8" fillId="5" borderId="2" xfId="2" applyFill="1" applyBorder="1" applyAlignment="1" applyProtection="1">
      <alignment horizontal="left"/>
      <protection locked="0"/>
    </xf>
    <xf numFmtId="164" fontId="0" fillId="5" borderId="2" xfId="0" applyNumberFormat="1" applyFill="1" applyBorder="1" applyAlignment="1" applyProtection="1">
      <alignment horizontal="left"/>
      <protection locked="0"/>
    </xf>
    <xf numFmtId="166" fontId="0" fillId="5" borderId="2" xfId="0" applyNumberFormat="1" applyFill="1" applyBorder="1" applyAlignment="1" applyProtection="1">
      <alignment horizontal="left"/>
      <protection locked="0"/>
    </xf>
    <xf numFmtId="17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170" fontId="0" fillId="0" borderId="0" xfId="0" applyNumberFormat="1" applyProtection="1">
      <protection locked="0"/>
    </xf>
    <xf numFmtId="0" fontId="10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166" fontId="0" fillId="5" borderId="0" xfId="0" applyNumberFormat="1" applyFill="1" applyAlignment="1">
      <alignment horizontal="center"/>
    </xf>
  </cellXfs>
  <cellStyles count="3">
    <cellStyle name="Hiperlink" xfId="2" builtinId="8"/>
    <cellStyle name="Normal" xfId="0" builtinId="0"/>
    <cellStyle name="Título 1" xfId="1" builtinId="16"/>
  </cellStyles>
  <dxfs count="5">
    <dxf>
      <numFmt numFmtId="166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70" formatCode="mmmm\,\ yyyy;@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www.tiktok.com/@herodioguinho" TargetMode="External"/><Relationship Id="rId2" Type="http://schemas.openxmlformats.org/officeDocument/2006/relationships/hyperlink" Target="#T&#205;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iogo-hero-de-lima-martins-52313938a/" TargetMode="External"/><Relationship Id="rId4" Type="http://schemas.openxmlformats.org/officeDocument/2006/relationships/hyperlink" Target="#NOTAS!C1"/><Relationship Id="rId9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www.tiktok.com/@herodioguinho" TargetMode="External"/><Relationship Id="rId2" Type="http://schemas.openxmlformats.org/officeDocument/2006/relationships/hyperlink" Target="#T&#205;TULAR!C1"/><Relationship Id="rId1" Type="http://schemas.openxmlformats.org/officeDocument/2006/relationships/image" Target="../media/image4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iogo-hero-de-lima-martins-52313938a/" TargetMode="External"/><Relationship Id="rId10" Type="http://schemas.openxmlformats.org/officeDocument/2006/relationships/hyperlink" Target="#T&#205;TULAR!A1"/><Relationship Id="rId4" Type="http://schemas.openxmlformats.org/officeDocument/2006/relationships/hyperlink" Target="#NOTAS!C1"/><Relationship Id="rId9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www.tiktok.com/@herodioguinho" TargetMode="External"/><Relationship Id="rId2" Type="http://schemas.openxmlformats.org/officeDocument/2006/relationships/hyperlink" Target="#T&#205;TULAR!C1"/><Relationship Id="rId1" Type="http://schemas.openxmlformats.org/officeDocument/2006/relationships/image" Target="../media/image5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iogo-hero-de-lima-martins-52313938a/" TargetMode="External"/><Relationship Id="rId4" Type="http://schemas.openxmlformats.org/officeDocument/2006/relationships/hyperlink" Target="#NOTAS!C1"/><Relationship Id="rId9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326708</xdr:colOff>
      <xdr:row>1</xdr:row>
      <xdr:rowOff>72390</xdr:rowOff>
    </xdr:from>
    <xdr:to>
      <xdr:col>0</xdr:col>
      <xdr:colOff>1507808</xdr:colOff>
      <xdr:row>7</xdr:row>
      <xdr:rowOff>21434</xdr:rowOff>
    </xdr:to>
    <xdr:pic>
      <xdr:nvPicPr>
        <xdr:cNvPr id="7" name="Imagem 6" descr="The Blue Podcast | Podcast on Spotify">
          <a:extLst>
            <a:ext uri="{FF2B5EF4-FFF2-40B4-BE49-F238E27FC236}">
              <a16:creationId xmlns:a16="http://schemas.microsoft.com/office/drawing/2014/main" id="{BD98BB09-77F4-FE89-1C3C-70E842D74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8" y="253365"/>
          <a:ext cx="1181100" cy="1168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19051</xdr:colOff>
      <xdr:row>0</xdr:row>
      <xdr:rowOff>49531</xdr:rowOff>
    </xdr:from>
    <xdr:to>
      <xdr:col>1</xdr:col>
      <xdr:colOff>0</xdr:colOff>
      <xdr:row>1</xdr:row>
      <xdr:rowOff>154305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BABD30D-CE03-41A1-2BC3-D458C4B86CA0}"/>
            </a:ext>
          </a:extLst>
        </xdr:cNvPr>
        <xdr:cNvSpPr/>
      </xdr:nvSpPr>
      <xdr:spPr>
        <a:xfrm>
          <a:off x="19051" y="49531"/>
          <a:ext cx="1781174" cy="285749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>
                <a:noFill/>
              </a:ln>
              <a:gradFill flip="none" rotWithShape="1">
                <a:gsLst>
                  <a:gs pos="41500">
                    <a:schemeClr val="tx2">
                      <a:lumMod val="75000"/>
                      <a:lumOff val="2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83000">
                    <a:schemeClr val="tx2">
                      <a:lumMod val="50000"/>
                      <a:lumOff val="50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/>
              <a:latin typeface="Arial" panose="020B0604020202020204" pitchFamily="34" charset="0"/>
              <a:cs typeface="Arial" panose="020B0604020202020204" pitchFamily="34" charset="0"/>
            </a:rPr>
            <a:t>LION CLUB</a:t>
          </a:r>
        </a:p>
      </xdr:txBody>
    </xdr:sp>
    <xdr:clientData/>
  </xdr:twoCellAnchor>
  <xdr:twoCellAnchor>
    <xdr:from>
      <xdr:col>0</xdr:col>
      <xdr:colOff>122873</xdr:colOff>
      <xdr:row>7</xdr:row>
      <xdr:rowOff>171450</xdr:rowOff>
    </xdr:from>
    <xdr:to>
      <xdr:col>0</xdr:col>
      <xdr:colOff>1696403</xdr:colOff>
      <xdr:row>9</xdr:row>
      <xdr:rowOff>93345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7063E3-2C50-64AB-42AF-BA00F2D8BFE2}"/>
            </a:ext>
          </a:extLst>
        </xdr:cNvPr>
        <xdr:cNvSpPr/>
      </xdr:nvSpPr>
      <xdr:spPr>
        <a:xfrm>
          <a:off x="122873" y="1438275"/>
          <a:ext cx="1573530" cy="28384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">
              <a:schemeClr val="tx2"/>
            </a:gs>
            <a:gs pos="83000">
              <a:schemeClr val="tx2">
                <a:lumMod val="50000"/>
                <a:lumOff val="50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tx1"/>
          </a:solidFill>
        </a:ln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123826</xdr:colOff>
      <xdr:row>10</xdr:row>
      <xdr:rowOff>59055</xdr:rowOff>
    </xdr:from>
    <xdr:to>
      <xdr:col>0</xdr:col>
      <xdr:colOff>1695451</xdr:colOff>
      <xdr:row>12</xdr:row>
      <xdr:rowOff>7620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B4614B-132A-4CA9-9E4E-502414800298}"/>
            </a:ext>
          </a:extLst>
        </xdr:cNvPr>
        <xdr:cNvSpPr/>
      </xdr:nvSpPr>
      <xdr:spPr>
        <a:xfrm>
          <a:off x="123826" y="1868805"/>
          <a:ext cx="1571625" cy="31051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120968</xdr:colOff>
      <xdr:row>12</xdr:row>
      <xdr:rowOff>152400</xdr:rowOff>
    </xdr:from>
    <xdr:to>
      <xdr:col>0</xdr:col>
      <xdr:colOff>1698308</xdr:colOff>
      <xdr:row>14</xdr:row>
      <xdr:rowOff>91440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705396-0099-47B9-A51F-1C88FE6922BA}"/>
            </a:ext>
          </a:extLst>
        </xdr:cNvPr>
        <xdr:cNvSpPr/>
      </xdr:nvSpPr>
      <xdr:spPr>
        <a:xfrm>
          <a:off x="120968" y="2324100"/>
          <a:ext cx="1577340" cy="30099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91441</xdr:colOff>
      <xdr:row>15</xdr:row>
      <xdr:rowOff>114300</xdr:rowOff>
    </xdr:from>
    <xdr:to>
      <xdr:col>0</xdr:col>
      <xdr:colOff>1727836</xdr:colOff>
      <xdr:row>15</xdr:row>
      <xdr:rowOff>114300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7FE99D92-37CA-93C9-D524-75F2825571E2}"/>
            </a:ext>
          </a:extLst>
        </xdr:cNvPr>
        <xdr:cNvCxnSpPr/>
      </xdr:nvCxnSpPr>
      <xdr:spPr>
        <a:xfrm>
          <a:off x="91441" y="2828925"/>
          <a:ext cx="1636395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511810</xdr:colOff>
      <xdr:row>17</xdr:row>
      <xdr:rowOff>34925</xdr:rowOff>
    </xdr:from>
    <xdr:to>
      <xdr:col>0</xdr:col>
      <xdr:colOff>859409</xdr:colOff>
      <xdr:row>19</xdr:row>
      <xdr:rowOff>54920</xdr:rowOff>
    </xdr:to>
    <xdr:pic>
      <xdr:nvPicPr>
        <xdr:cNvPr id="19" name="ICON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2E0243-7A9E-4DD5-B331-AFDC63B1C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1810" y="3111500"/>
          <a:ext cx="343789" cy="378135"/>
        </a:xfrm>
        <a:prstGeom prst="rect">
          <a:avLst/>
        </a:prstGeom>
      </xdr:spPr>
    </xdr:pic>
    <xdr:clientData/>
  </xdr:twoCellAnchor>
  <xdr:twoCellAnchor editAs="oneCell">
    <xdr:from>
      <xdr:col>0</xdr:col>
      <xdr:colOff>892810</xdr:colOff>
      <xdr:row>17</xdr:row>
      <xdr:rowOff>34925</xdr:rowOff>
    </xdr:from>
    <xdr:to>
      <xdr:col>0</xdr:col>
      <xdr:colOff>1258569</xdr:colOff>
      <xdr:row>19</xdr:row>
      <xdr:rowOff>56696</xdr:rowOff>
    </xdr:to>
    <xdr:pic>
      <xdr:nvPicPr>
        <xdr:cNvPr id="21" name="ICON_TIKTO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A712803-6578-491E-B678-4E369423A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2810" y="3111500"/>
          <a:ext cx="365759" cy="383721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20</xdr:row>
      <xdr:rowOff>19050</xdr:rowOff>
    </xdr:from>
    <xdr:to>
      <xdr:col>4</xdr:col>
      <xdr:colOff>20550</xdr:colOff>
      <xdr:row>21</xdr:row>
      <xdr:rowOff>76200</xdr:rowOff>
    </xdr:to>
    <xdr:sp macro="" textlink="">
      <xdr:nvSpPr>
        <xdr:cNvPr id="24" name="Retângulo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55BC242-DF55-9C7D-5E24-BDD5D3E5AD71}"/>
            </a:ext>
          </a:extLst>
        </xdr:cNvPr>
        <xdr:cNvSpPr/>
      </xdr:nvSpPr>
      <xdr:spPr>
        <a:xfrm>
          <a:off x="5629275" y="3768090"/>
          <a:ext cx="3236190" cy="2419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</a:t>
          </a:r>
          <a:r>
            <a:rPr lang="pt-BR" sz="1100" b="1"/>
            <a:t>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326708</xdr:colOff>
      <xdr:row>1</xdr:row>
      <xdr:rowOff>72390</xdr:rowOff>
    </xdr:from>
    <xdr:to>
      <xdr:col>0</xdr:col>
      <xdr:colOff>1507808</xdr:colOff>
      <xdr:row>6</xdr:row>
      <xdr:rowOff>131924</xdr:rowOff>
    </xdr:to>
    <xdr:pic>
      <xdr:nvPicPr>
        <xdr:cNvPr id="2" name="Imagem 1" descr="The Blue Podcast | Podcast on Spotify">
          <a:extLst>
            <a:ext uri="{FF2B5EF4-FFF2-40B4-BE49-F238E27FC236}">
              <a16:creationId xmlns:a16="http://schemas.microsoft.com/office/drawing/2014/main" id="{D4AFC4CB-D11D-4517-B13B-4B69117FD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8" y="253365"/>
          <a:ext cx="1181100" cy="1168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19051</xdr:colOff>
      <xdr:row>0</xdr:row>
      <xdr:rowOff>49531</xdr:rowOff>
    </xdr:from>
    <xdr:to>
      <xdr:col>1</xdr:col>
      <xdr:colOff>0</xdr:colOff>
      <xdr:row>1</xdr:row>
      <xdr:rowOff>154305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3711B33-0088-4041-8ED7-AB053949066C}"/>
            </a:ext>
          </a:extLst>
        </xdr:cNvPr>
        <xdr:cNvSpPr/>
      </xdr:nvSpPr>
      <xdr:spPr>
        <a:xfrm>
          <a:off x="19051" y="49531"/>
          <a:ext cx="1781174" cy="285749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>
                <a:noFill/>
              </a:ln>
              <a:gradFill flip="none" rotWithShape="1">
                <a:gsLst>
                  <a:gs pos="41500">
                    <a:schemeClr val="tx2">
                      <a:lumMod val="75000"/>
                      <a:lumOff val="2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83000">
                    <a:schemeClr val="tx2">
                      <a:lumMod val="50000"/>
                      <a:lumOff val="50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/>
              <a:latin typeface="Arial" panose="020B0604020202020204" pitchFamily="34" charset="0"/>
              <a:cs typeface="Arial" panose="020B0604020202020204" pitchFamily="34" charset="0"/>
            </a:rPr>
            <a:t>LION CLUB</a:t>
          </a:r>
        </a:p>
      </xdr:txBody>
    </xdr:sp>
    <xdr:clientData/>
  </xdr:twoCellAnchor>
  <xdr:twoCellAnchor>
    <xdr:from>
      <xdr:col>0</xdr:col>
      <xdr:colOff>122873</xdr:colOff>
      <xdr:row>8</xdr:row>
      <xdr:rowOff>171450</xdr:rowOff>
    </xdr:from>
    <xdr:to>
      <xdr:col>0</xdr:col>
      <xdr:colOff>1696403</xdr:colOff>
      <xdr:row>10</xdr:row>
      <xdr:rowOff>93345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B3DBBD-2316-4ABE-BBD4-035FDE755ED3}"/>
            </a:ext>
          </a:extLst>
        </xdr:cNvPr>
        <xdr:cNvSpPr/>
      </xdr:nvSpPr>
      <xdr:spPr>
        <a:xfrm>
          <a:off x="122873" y="1438275"/>
          <a:ext cx="1573530" cy="28384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123826</xdr:colOff>
      <xdr:row>11</xdr:row>
      <xdr:rowOff>59055</xdr:rowOff>
    </xdr:from>
    <xdr:to>
      <xdr:col>0</xdr:col>
      <xdr:colOff>1695451</xdr:colOff>
      <xdr:row>13</xdr:row>
      <xdr:rowOff>7620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8D51FE-074D-4B38-B0F5-091CA22A9A74}"/>
            </a:ext>
          </a:extLst>
        </xdr:cNvPr>
        <xdr:cNvSpPr/>
      </xdr:nvSpPr>
      <xdr:spPr>
        <a:xfrm>
          <a:off x="123826" y="1868805"/>
          <a:ext cx="1571625" cy="31051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">
              <a:schemeClr val="tx2"/>
            </a:gs>
            <a:gs pos="83000">
              <a:schemeClr val="tx2">
                <a:lumMod val="50000"/>
                <a:lumOff val="50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tx1"/>
          </a:solidFill>
        </a:ln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120968</xdr:colOff>
      <xdr:row>13</xdr:row>
      <xdr:rowOff>152400</xdr:rowOff>
    </xdr:from>
    <xdr:to>
      <xdr:col>0</xdr:col>
      <xdr:colOff>1698308</xdr:colOff>
      <xdr:row>15</xdr:row>
      <xdr:rowOff>91440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E4A0FA-18D2-4091-A515-701C3B9C8D60}"/>
            </a:ext>
          </a:extLst>
        </xdr:cNvPr>
        <xdr:cNvSpPr/>
      </xdr:nvSpPr>
      <xdr:spPr>
        <a:xfrm>
          <a:off x="120968" y="2324100"/>
          <a:ext cx="1577340" cy="30099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91441</xdr:colOff>
      <xdr:row>16</xdr:row>
      <xdr:rowOff>114300</xdr:rowOff>
    </xdr:from>
    <xdr:to>
      <xdr:col>0</xdr:col>
      <xdr:colOff>1727836</xdr:colOff>
      <xdr:row>16</xdr:row>
      <xdr:rowOff>114300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447E4B90-F912-4A5D-9C67-15247B346653}"/>
            </a:ext>
          </a:extLst>
        </xdr:cNvPr>
        <xdr:cNvCxnSpPr/>
      </xdr:nvCxnSpPr>
      <xdr:spPr>
        <a:xfrm>
          <a:off x="91441" y="2828925"/>
          <a:ext cx="1636395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511810</xdr:colOff>
      <xdr:row>18</xdr:row>
      <xdr:rowOff>34925</xdr:rowOff>
    </xdr:from>
    <xdr:to>
      <xdr:col>0</xdr:col>
      <xdr:colOff>855599</xdr:colOff>
      <xdr:row>20</xdr:row>
      <xdr:rowOff>54920</xdr:rowOff>
    </xdr:to>
    <xdr:pic>
      <xdr:nvPicPr>
        <xdr:cNvPr id="10" name="ICON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4F9DAF-C384-435E-AB33-6C601689A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1810" y="3111500"/>
          <a:ext cx="343789" cy="381945"/>
        </a:xfrm>
        <a:prstGeom prst="rect">
          <a:avLst/>
        </a:prstGeom>
      </xdr:spPr>
    </xdr:pic>
    <xdr:clientData/>
  </xdr:twoCellAnchor>
  <xdr:twoCellAnchor editAs="oneCell">
    <xdr:from>
      <xdr:col>0</xdr:col>
      <xdr:colOff>892810</xdr:colOff>
      <xdr:row>18</xdr:row>
      <xdr:rowOff>34925</xdr:rowOff>
    </xdr:from>
    <xdr:to>
      <xdr:col>0</xdr:col>
      <xdr:colOff>1273809</xdr:colOff>
      <xdr:row>20</xdr:row>
      <xdr:rowOff>56696</xdr:rowOff>
    </xdr:to>
    <xdr:pic>
      <xdr:nvPicPr>
        <xdr:cNvPr id="11" name="ICON_TIKTO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03C4FF-4858-456C-A95C-DB13D22AC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2810" y="3111500"/>
          <a:ext cx="373379" cy="387531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16740</xdr:colOff>
      <xdr:row>24</xdr:row>
      <xdr:rowOff>53340</xdr:rowOff>
    </xdr:to>
    <xdr:sp macro="" textlink="">
      <xdr:nvSpPr>
        <xdr:cNvPr id="13" name="Retângul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83338CE-CB19-4109-BD05-28B800794C0F}"/>
            </a:ext>
          </a:extLst>
        </xdr:cNvPr>
        <xdr:cNvSpPr/>
      </xdr:nvSpPr>
      <xdr:spPr>
        <a:xfrm>
          <a:off x="5629275" y="4410075"/>
          <a:ext cx="3240000" cy="238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</a:t>
          </a:r>
          <a:r>
            <a:rPr lang="pt-BR" sz="1100" b="1"/>
            <a:t>-&gt;</a:t>
          </a:r>
        </a:p>
      </xdr:txBody>
    </xdr:sp>
    <xdr:clientData/>
  </xdr:twoCellAnchor>
  <xdr:twoCellAnchor editAs="absolute">
    <xdr:from>
      <xdr:col>1</xdr:col>
      <xdr:colOff>571500</xdr:colOff>
      <xdr:row>23</xdr:row>
      <xdr:rowOff>0</xdr:rowOff>
    </xdr:from>
    <xdr:to>
      <xdr:col>2</xdr:col>
      <xdr:colOff>3198090</xdr:colOff>
      <xdr:row>24</xdr:row>
      <xdr:rowOff>57150</xdr:rowOff>
    </xdr:to>
    <xdr:sp macro="" textlink="">
      <xdr:nvSpPr>
        <xdr:cNvPr id="14" name="Retângul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C0C64C-9984-470D-8C87-AF7A21FDE611}"/>
            </a:ext>
          </a:extLst>
        </xdr:cNvPr>
        <xdr:cNvSpPr/>
      </xdr:nvSpPr>
      <xdr:spPr>
        <a:xfrm>
          <a:off x="2371725" y="4410075"/>
          <a:ext cx="3236190" cy="2343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</a:t>
          </a:r>
          <a:r>
            <a:rPr lang="pt-BR" sz="1100"/>
            <a:t>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320993</xdr:colOff>
      <xdr:row>1</xdr:row>
      <xdr:rowOff>72390</xdr:rowOff>
    </xdr:from>
    <xdr:to>
      <xdr:col>0</xdr:col>
      <xdr:colOff>1502093</xdr:colOff>
      <xdr:row>7</xdr:row>
      <xdr:rowOff>15719</xdr:rowOff>
    </xdr:to>
    <xdr:pic>
      <xdr:nvPicPr>
        <xdr:cNvPr id="2" name="Imagem 1" descr="The Blue Podcast | Podcast on Spotify">
          <a:extLst>
            <a:ext uri="{FF2B5EF4-FFF2-40B4-BE49-F238E27FC236}">
              <a16:creationId xmlns:a16="http://schemas.microsoft.com/office/drawing/2014/main" id="{2021038A-20F1-431B-A711-2A5B9D8F1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3" y="253365"/>
          <a:ext cx="1181100" cy="1168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19051</xdr:colOff>
      <xdr:row>0</xdr:row>
      <xdr:rowOff>49531</xdr:rowOff>
    </xdr:from>
    <xdr:to>
      <xdr:col>1</xdr:col>
      <xdr:colOff>0</xdr:colOff>
      <xdr:row>1</xdr:row>
      <xdr:rowOff>154305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C094216-AA8E-44BE-B4FC-DE00781EFF48}"/>
            </a:ext>
          </a:extLst>
        </xdr:cNvPr>
        <xdr:cNvSpPr/>
      </xdr:nvSpPr>
      <xdr:spPr>
        <a:xfrm>
          <a:off x="19051" y="49531"/>
          <a:ext cx="1781174" cy="285749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>
                <a:noFill/>
              </a:ln>
              <a:gradFill flip="none" rotWithShape="1">
                <a:gsLst>
                  <a:gs pos="41500">
                    <a:schemeClr val="tx2">
                      <a:lumMod val="75000"/>
                      <a:lumOff val="2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83000">
                    <a:schemeClr val="tx2">
                      <a:lumMod val="50000"/>
                      <a:lumOff val="50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/>
              <a:latin typeface="Arial" panose="020B0604020202020204" pitchFamily="34" charset="0"/>
              <a:cs typeface="Arial" panose="020B0604020202020204" pitchFamily="34" charset="0"/>
            </a:rPr>
            <a:t>LION CLUB</a:t>
          </a:r>
        </a:p>
      </xdr:txBody>
    </xdr:sp>
    <xdr:clientData/>
  </xdr:twoCellAnchor>
  <xdr:twoCellAnchor>
    <xdr:from>
      <xdr:col>0</xdr:col>
      <xdr:colOff>120016</xdr:colOff>
      <xdr:row>7</xdr:row>
      <xdr:rowOff>171450</xdr:rowOff>
    </xdr:from>
    <xdr:to>
      <xdr:col>0</xdr:col>
      <xdr:colOff>1693546</xdr:colOff>
      <xdr:row>9</xdr:row>
      <xdr:rowOff>93345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5987FF-13B9-4C36-BDD2-C229038D65CA}"/>
            </a:ext>
          </a:extLst>
        </xdr:cNvPr>
        <xdr:cNvSpPr/>
      </xdr:nvSpPr>
      <xdr:spPr>
        <a:xfrm>
          <a:off x="120016" y="1438275"/>
          <a:ext cx="1573530" cy="28384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124778</xdr:colOff>
      <xdr:row>10</xdr:row>
      <xdr:rowOff>56890</xdr:rowOff>
    </xdr:from>
    <xdr:to>
      <xdr:col>0</xdr:col>
      <xdr:colOff>1692593</xdr:colOff>
      <xdr:row>12</xdr:row>
      <xdr:rowOff>5975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C0F62E-AC94-4E40-B804-2A8AC50EE0B2}"/>
            </a:ext>
          </a:extLst>
        </xdr:cNvPr>
        <xdr:cNvSpPr/>
      </xdr:nvSpPr>
      <xdr:spPr>
        <a:xfrm>
          <a:off x="124778" y="1866640"/>
          <a:ext cx="1567815" cy="31103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117158</xdr:colOff>
      <xdr:row>12</xdr:row>
      <xdr:rowOff>152400</xdr:rowOff>
    </xdr:from>
    <xdr:to>
      <xdr:col>0</xdr:col>
      <xdr:colOff>1694498</xdr:colOff>
      <xdr:row>14</xdr:row>
      <xdr:rowOff>91440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AE2CC3-3563-4637-80EE-F09874A5FF65}"/>
            </a:ext>
          </a:extLst>
        </xdr:cNvPr>
        <xdr:cNvSpPr/>
      </xdr:nvSpPr>
      <xdr:spPr>
        <a:xfrm>
          <a:off x="117158" y="2324100"/>
          <a:ext cx="1577340" cy="30099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">
              <a:schemeClr val="tx2"/>
            </a:gs>
            <a:gs pos="83000">
              <a:schemeClr val="tx2">
                <a:lumMod val="50000"/>
                <a:lumOff val="50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tx1"/>
          </a:solidFill>
        </a:ln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93345</xdr:colOff>
      <xdr:row>15</xdr:row>
      <xdr:rowOff>114300</xdr:rowOff>
    </xdr:from>
    <xdr:to>
      <xdr:col>0</xdr:col>
      <xdr:colOff>1729740</xdr:colOff>
      <xdr:row>15</xdr:row>
      <xdr:rowOff>114300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A651E3D2-633A-4ECB-8C3D-9E6474C44674}"/>
            </a:ext>
          </a:extLst>
        </xdr:cNvPr>
        <xdr:cNvCxnSpPr/>
      </xdr:nvCxnSpPr>
      <xdr:spPr>
        <a:xfrm>
          <a:off x="93345" y="2828925"/>
          <a:ext cx="1636395" cy="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511810</xdr:colOff>
      <xdr:row>17</xdr:row>
      <xdr:rowOff>34925</xdr:rowOff>
    </xdr:from>
    <xdr:to>
      <xdr:col>0</xdr:col>
      <xdr:colOff>855599</xdr:colOff>
      <xdr:row>19</xdr:row>
      <xdr:rowOff>54920</xdr:rowOff>
    </xdr:to>
    <xdr:pic>
      <xdr:nvPicPr>
        <xdr:cNvPr id="16" name="ICON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84CDD5-19FC-40F4-B71F-A688C0FBA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1810" y="3111500"/>
          <a:ext cx="343789" cy="381945"/>
        </a:xfrm>
        <a:prstGeom prst="rect">
          <a:avLst/>
        </a:prstGeom>
      </xdr:spPr>
    </xdr:pic>
    <xdr:clientData/>
  </xdr:twoCellAnchor>
  <xdr:twoCellAnchor editAs="oneCell">
    <xdr:from>
      <xdr:col>0</xdr:col>
      <xdr:colOff>892810</xdr:colOff>
      <xdr:row>17</xdr:row>
      <xdr:rowOff>34925</xdr:rowOff>
    </xdr:from>
    <xdr:to>
      <xdr:col>0</xdr:col>
      <xdr:colOff>1277619</xdr:colOff>
      <xdr:row>19</xdr:row>
      <xdr:rowOff>60506</xdr:rowOff>
    </xdr:to>
    <xdr:pic>
      <xdr:nvPicPr>
        <xdr:cNvPr id="17" name="ICON_TIKTO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87B0B1-0155-4D85-8E8A-143DF286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2810" y="3111500"/>
          <a:ext cx="373379" cy="387531"/>
        </a:xfrm>
        <a:prstGeom prst="rect">
          <a:avLst/>
        </a:prstGeom>
      </xdr:spPr>
    </xdr:pic>
    <xdr:clientData/>
  </xdr:twoCellAnchor>
  <xdr:twoCellAnchor editAs="absolute">
    <xdr:from>
      <xdr:col>2</xdr:col>
      <xdr:colOff>9526</xdr:colOff>
      <xdr:row>4</xdr:row>
      <xdr:rowOff>148590</xdr:rowOff>
    </xdr:from>
    <xdr:to>
      <xdr:col>2</xdr:col>
      <xdr:colOff>1826681</xdr:colOff>
      <xdr:row>5</xdr:row>
      <xdr:rowOff>149878</xdr:rowOff>
    </xdr:to>
    <xdr:sp macro="" textlink="">
      <xdr:nvSpPr>
        <xdr:cNvPr id="19" name="Retângulo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E0E571-E36A-4BAC-A858-141B4AC0A048}"/>
            </a:ext>
          </a:extLst>
        </xdr:cNvPr>
        <xdr:cNvSpPr/>
      </xdr:nvSpPr>
      <xdr:spPr>
        <a:xfrm>
          <a:off x="2417446" y="1005840"/>
          <a:ext cx="1819060" cy="1822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</a:t>
          </a:r>
          <a:r>
            <a:rPr lang="pt-BR" sz="1100"/>
            <a:t>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02E2D-5BED-4032-9CB7-71D6E646A830}" name="Tabela1" displayName="Tabela1" ref="C8:E33" totalsRowShown="0" headerRowDxfId="4" dataDxfId="3">
  <autoFilter ref="C8:E33" xr:uid="{BCD02E2D-5BED-4032-9CB7-71D6E646A830}"/>
  <tableColumns count="3">
    <tableColumn id="1" xr3:uid="{2A758495-446A-49FF-8655-767AA70263E6}" name="DATA" dataDxfId="2"/>
    <tableColumn id="2" xr3:uid="{51B643D1-A6A1-4F6D-92A3-BF992CF9768D}" name="CATEGORIA" dataDxfId="1"/>
    <tableColumn id="3" xr3:uid="{6B2E5287-D8A5-433F-8C79-594ED39C4B99}" name="VAL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ghero.martins@gmail.com?subject=Oi,%20precisamos%20falar%20d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9170-A9E8-4E88-8CAD-57226FCE7097}">
  <sheetPr codeName="Planilha1">
    <tabColor theme="3" tint="0.499984740745262"/>
  </sheetPr>
  <dimension ref="A3:E19"/>
  <sheetViews>
    <sheetView showGridLines="0" tabSelected="1" workbookViewId="0">
      <selection activeCell="D6" sqref="D6"/>
    </sheetView>
  </sheetViews>
  <sheetFormatPr defaultRowHeight="14.4" x14ac:dyDescent="0.3"/>
  <cols>
    <col min="1" max="1" width="26.21875" style="1" customWidth="1"/>
    <col min="3" max="4" width="46.88671875" customWidth="1"/>
  </cols>
  <sheetData>
    <row r="3" spans="3:5" ht="20.399999999999999" thickBot="1" x14ac:dyDescent="0.45">
      <c r="C3" s="4" t="s">
        <v>15</v>
      </c>
      <c r="D3" s="3"/>
      <c r="E3" s="3"/>
    </row>
    <row r="4" spans="3:5" ht="18.600000000000001" customHeight="1" thickTop="1" x14ac:dyDescent="0.3">
      <c r="C4" s="26" t="s">
        <v>16</v>
      </c>
      <c r="D4" s="27"/>
      <c r="E4" s="27"/>
    </row>
    <row r="6" spans="3:5" x14ac:dyDescent="0.3">
      <c r="C6" s="5" t="s">
        <v>1</v>
      </c>
      <c r="D6" s="13" t="s">
        <v>19</v>
      </c>
    </row>
    <row r="7" spans="3:5" x14ac:dyDescent="0.3">
      <c r="C7" s="5" t="s">
        <v>2</v>
      </c>
      <c r="D7" s="14">
        <v>12312312322</v>
      </c>
    </row>
    <row r="8" spans="3:5" x14ac:dyDescent="0.3">
      <c r="C8" s="5" t="s">
        <v>3</v>
      </c>
      <c r="D8" s="15">
        <v>39162</v>
      </c>
    </row>
    <row r="9" spans="3:5" x14ac:dyDescent="0.3">
      <c r="C9" s="5" t="s">
        <v>4</v>
      </c>
      <c r="D9" s="13">
        <v>123123123</v>
      </c>
    </row>
    <row r="10" spans="3:5" x14ac:dyDescent="0.3">
      <c r="C10" s="5" t="s">
        <v>5</v>
      </c>
      <c r="D10" s="13" t="s">
        <v>24</v>
      </c>
    </row>
    <row r="11" spans="3:5" x14ac:dyDescent="0.3">
      <c r="C11" s="5" t="s">
        <v>6</v>
      </c>
      <c r="D11" s="13" t="s">
        <v>23</v>
      </c>
    </row>
    <row r="12" spans="3:5" x14ac:dyDescent="0.3">
      <c r="C12" s="5" t="s">
        <v>7</v>
      </c>
      <c r="D12" s="13" t="s">
        <v>22</v>
      </c>
    </row>
    <row r="13" spans="3:5" x14ac:dyDescent="0.3">
      <c r="C13" s="5" t="s">
        <v>8</v>
      </c>
      <c r="D13" s="16">
        <v>11050250</v>
      </c>
    </row>
    <row r="14" spans="3:5" x14ac:dyDescent="0.3">
      <c r="C14" s="5" t="s">
        <v>9</v>
      </c>
      <c r="D14" s="17">
        <v>1332728199</v>
      </c>
    </row>
    <row r="15" spans="3:5" x14ac:dyDescent="0.3">
      <c r="C15" s="5" t="s">
        <v>10</v>
      </c>
      <c r="D15" s="18" t="s">
        <v>21</v>
      </c>
    </row>
    <row r="16" spans="3:5" x14ac:dyDescent="0.3">
      <c r="C16" s="5" t="s">
        <v>11</v>
      </c>
      <c r="D16" s="19" t="s">
        <v>20</v>
      </c>
    </row>
    <row r="17" spans="1:4" x14ac:dyDescent="0.3">
      <c r="A17" s="2" t="s">
        <v>0</v>
      </c>
      <c r="C17" s="5" t="s">
        <v>12</v>
      </c>
      <c r="D17" s="20" t="s">
        <v>17</v>
      </c>
    </row>
    <row r="18" spans="1:4" x14ac:dyDescent="0.3">
      <c r="C18" s="5" t="s">
        <v>13</v>
      </c>
      <c r="D18" s="13" t="s">
        <v>18</v>
      </c>
    </row>
    <row r="19" spans="1:4" x14ac:dyDescent="0.3">
      <c r="C19" s="5" t="s">
        <v>14</v>
      </c>
      <c r="D19" s="13" t="s">
        <v>18</v>
      </c>
    </row>
  </sheetData>
  <sheetProtection sheet="1" objects="1" scenarios="1" selectLockedCells="1"/>
  <mergeCells count="1">
    <mergeCell ref="C4:E4"/>
  </mergeCells>
  <phoneticPr fontId="9" type="noConversion"/>
  <dataValidations count="1">
    <dataValidation type="list" allowBlank="1" showInputMessage="1" showErrorMessage="1" sqref="D17:D19" xr:uid="{70E29EB5-26B9-480B-B84C-576DF89B16C5}">
      <formula1>"SIM,NÃO"</formula1>
    </dataValidation>
  </dataValidations>
  <hyperlinks>
    <hyperlink ref="D16" r:id="rId1" xr:uid="{093198A0-663A-4E51-93B9-181F9C0B3B57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7F49-F263-4106-8E52-F3BFA1AF4AC6}">
  <sheetPr codeName="Planilha2">
    <tabColor theme="3" tint="0.749992370372631"/>
  </sheetPr>
  <dimension ref="A3:E22"/>
  <sheetViews>
    <sheetView showGridLines="0" topLeftCell="A5" workbookViewId="0">
      <selection activeCell="D10" sqref="D10"/>
    </sheetView>
  </sheetViews>
  <sheetFormatPr defaultRowHeight="14.4" x14ac:dyDescent="0.3"/>
  <cols>
    <col min="1" max="1" width="26.21875" style="1" customWidth="1"/>
    <col min="3" max="4" width="46.88671875" customWidth="1"/>
  </cols>
  <sheetData>
    <row r="3" spans="3:5" ht="20.399999999999999" thickBot="1" x14ac:dyDescent="0.45">
      <c r="C3" s="4" t="s">
        <v>25</v>
      </c>
      <c r="D3" s="3"/>
      <c r="E3" s="3"/>
    </row>
    <row r="4" spans="3:5" ht="18.600000000000001" customHeight="1" thickTop="1" x14ac:dyDescent="0.3">
      <c r="C4" s="26" t="s">
        <v>26</v>
      </c>
      <c r="D4" s="27"/>
      <c r="E4" s="27"/>
    </row>
    <row r="5" spans="3:5" ht="18.600000000000001" customHeight="1" x14ac:dyDescent="0.3">
      <c r="C5" s="8"/>
      <c r="D5" s="9"/>
      <c r="E5" s="9"/>
    </row>
    <row r="6" spans="3:5" x14ac:dyDescent="0.3">
      <c r="C6" t="s">
        <v>78</v>
      </c>
    </row>
    <row r="7" spans="3:5" ht="18.600000000000001" customHeight="1" x14ac:dyDescent="0.3">
      <c r="C7" s="28">
        <f>SUM(D11,D16,D21)</f>
        <v>1450000</v>
      </c>
      <c r="D7" s="28"/>
    </row>
    <row r="9" spans="3:5" x14ac:dyDescent="0.3">
      <c r="C9" s="7" t="s">
        <v>75</v>
      </c>
    </row>
    <row r="10" spans="3:5" x14ac:dyDescent="0.3">
      <c r="C10" s="5" t="s">
        <v>27</v>
      </c>
      <c r="D10" s="13" t="s">
        <v>57</v>
      </c>
    </row>
    <row r="11" spans="3:5" x14ac:dyDescent="0.3">
      <c r="C11" s="5" t="s">
        <v>28</v>
      </c>
      <c r="D11" s="21">
        <v>500000</v>
      </c>
    </row>
    <row r="12" spans="3:5" x14ac:dyDescent="0.3">
      <c r="C12" s="5" t="s">
        <v>29</v>
      </c>
      <c r="D12" s="13" t="s">
        <v>74</v>
      </c>
    </row>
    <row r="14" spans="3:5" x14ac:dyDescent="0.3">
      <c r="C14" s="7" t="s">
        <v>76</v>
      </c>
    </row>
    <row r="15" spans="3:5" x14ac:dyDescent="0.3">
      <c r="C15" s="5" t="s">
        <v>27</v>
      </c>
      <c r="D15" s="13" t="s">
        <v>37</v>
      </c>
    </row>
    <row r="16" spans="3:5" x14ac:dyDescent="0.3">
      <c r="C16" s="5" t="s">
        <v>28</v>
      </c>
      <c r="D16" s="21">
        <v>200000</v>
      </c>
    </row>
    <row r="17" spans="1:4" x14ac:dyDescent="0.3">
      <c r="C17" s="5" t="s">
        <v>29</v>
      </c>
      <c r="D17" s="13" t="s">
        <v>74</v>
      </c>
    </row>
    <row r="18" spans="1:4" x14ac:dyDescent="0.3">
      <c r="A18" s="2" t="s">
        <v>0</v>
      </c>
    </row>
    <row r="19" spans="1:4" x14ac:dyDescent="0.3">
      <c r="C19" s="7" t="s">
        <v>77</v>
      </c>
    </row>
    <row r="20" spans="1:4" x14ac:dyDescent="0.3">
      <c r="C20" s="5" t="s">
        <v>27</v>
      </c>
      <c r="D20" s="13" t="s">
        <v>36</v>
      </c>
    </row>
    <row r="21" spans="1:4" x14ac:dyDescent="0.3">
      <c r="C21" s="5" t="s">
        <v>28</v>
      </c>
      <c r="D21" s="21">
        <v>750000</v>
      </c>
    </row>
    <row r="22" spans="1:4" x14ac:dyDescent="0.3">
      <c r="C22" s="5" t="s">
        <v>29</v>
      </c>
      <c r="D22" s="13" t="s">
        <v>74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D5B6F2-F1CA-4A38-BD1C-76D71658EA70}">
          <x14:formula1>
            <xm:f>TABELAS!$A$2:$A$44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E49B-D327-4424-AFB8-60D2F36741AA}">
  <sheetPr codeName="Planilha3">
    <tabColor theme="3" tint="0.89999084444715716"/>
  </sheetPr>
  <dimension ref="A3:E33"/>
  <sheetViews>
    <sheetView showGridLines="0" workbookViewId="0">
      <selection activeCell="C9" sqref="C9"/>
    </sheetView>
  </sheetViews>
  <sheetFormatPr defaultRowHeight="14.4" x14ac:dyDescent="0.3"/>
  <cols>
    <col min="1" max="1" width="26.21875" style="1" customWidth="1"/>
    <col min="3" max="5" width="27" customWidth="1"/>
  </cols>
  <sheetData>
    <row r="3" spans="3:5" ht="20.399999999999999" thickBot="1" x14ac:dyDescent="0.45">
      <c r="C3" s="4" t="s">
        <v>79</v>
      </c>
      <c r="D3" s="3"/>
      <c r="E3" s="3"/>
    </row>
    <row r="4" spans="3:5" ht="18.600000000000001" customHeight="1" thickTop="1" x14ac:dyDescent="0.3">
      <c r="C4" s="26" t="s">
        <v>80</v>
      </c>
      <c r="D4" s="27"/>
      <c r="E4" s="27"/>
    </row>
    <row r="7" spans="3:5" x14ac:dyDescent="0.3">
      <c r="C7" s="11"/>
      <c r="D7" s="12" t="s">
        <v>84</v>
      </c>
      <c r="E7" s="11"/>
    </row>
    <row r="8" spans="3:5" x14ac:dyDescent="0.3">
      <c r="C8" s="10" t="s">
        <v>81</v>
      </c>
      <c r="D8" s="10" t="s">
        <v>82</v>
      </c>
      <c r="E8" s="10" t="s">
        <v>83</v>
      </c>
    </row>
    <row r="9" spans="3:5" x14ac:dyDescent="0.3">
      <c r="C9" s="22">
        <v>46064</v>
      </c>
      <c r="D9" s="23" t="s">
        <v>85</v>
      </c>
      <c r="E9" s="24">
        <v>3000</v>
      </c>
    </row>
    <row r="10" spans="3:5" x14ac:dyDescent="0.3">
      <c r="C10" s="25"/>
      <c r="D10" s="23"/>
      <c r="E10" s="24"/>
    </row>
    <row r="11" spans="3:5" x14ac:dyDescent="0.3">
      <c r="C11" s="25"/>
      <c r="D11" s="23"/>
      <c r="E11" s="24"/>
    </row>
    <row r="12" spans="3:5" x14ac:dyDescent="0.3">
      <c r="C12" s="25"/>
      <c r="D12" s="23"/>
      <c r="E12" s="24"/>
    </row>
    <row r="13" spans="3:5" x14ac:dyDescent="0.3">
      <c r="C13" s="25"/>
      <c r="D13" s="23"/>
      <c r="E13" s="24"/>
    </row>
    <row r="14" spans="3:5" x14ac:dyDescent="0.3">
      <c r="C14" s="25"/>
      <c r="D14" s="23"/>
      <c r="E14" s="24"/>
    </row>
    <row r="15" spans="3:5" x14ac:dyDescent="0.3">
      <c r="C15" s="25"/>
      <c r="D15" s="23"/>
      <c r="E15" s="24"/>
    </row>
    <row r="16" spans="3:5" x14ac:dyDescent="0.3">
      <c r="C16" s="25"/>
      <c r="D16" s="23"/>
      <c r="E16" s="24"/>
    </row>
    <row r="17" spans="1:5" x14ac:dyDescent="0.3">
      <c r="A17" s="2" t="s">
        <v>0</v>
      </c>
      <c r="C17" s="25"/>
      <c r="D17" s="23"/>
      <c r="E17" s="24"/>
    </row>
    <row r="18" spans="1:5" x14ac:dyDescent="0.3">
      <c r="C18" s="25"/>
      <c r="D18" s="23"/>
      <c r="E18" s="24"/>
    </row>
    <row r="19" spans="1:5" x14ac:dyDescent="0.3">
      <c r="C19" s="25"/>
      <c r="D19" s="23"/>
      <c r="E19" s="24"/>
    </row>
    <row r="20" spans="1:5" x14ac:dyDescent="0.3">
      <c r="C20" s="25"/>
      <c r="D20" s="23"/>
      <c r="E20" s="24"/>
    </row>
    <row r="21" spans="1:5" x14ac:dyDescent="0.3">
      <c r="C21" s="25"/>
      <c r="D21" s="23"/>
      <c r="E21" s="24"/>
    </row>
    <row r="22" spans="1:5" x14ac:dyDescent="0.3">
      <c r="C22" s="25"/>
      <c r="D22" s="23"/>
      <c r="E22" s="24"/>
    </row>
    <row r="23" spans="1:5" x14ac:dyDescent="0.3">
      <c r="C23" s="25"/>
      <c r="D23" s="23"/>
      <c r="E23" s="24"/>
    </row>
    <row r="24" spans="1:5" x14ac:dyDescent="0.3">
      <c r="C24" s="25"/>
      <c r="D24" s="23"/>
      <c r="E24" s="24"/>
    </row>
    <row r="25" spans="1:5" x14ac:dyDescent="0.3">
      <c r="C25" s="25"/>
      <c r="D25" s="23"/>
      <c r="E25" s="24"/>
    </row>
    <row r="26" spans="1:5" x14ac:dyDescent="0.3">
      <c r="C26" s="25"/>
      <c r="D26" s="23"/>
      <c r="E26" s="24"/>
    </row>
    <row r="27" spans="1:5" x14ac:dyDescent="0.3">
      <c r="C27" s="25"/>
      <c r="D27" s="23"/>
      <c r="E27" s="24"/>
    </row>
    <row r="28" spans="1:5" x14ac:dyDescent="0.3">
      <c r="C28" s="25"/>
      <c r="D28" s="23"/>
      <c r="E28" s="24"/>
    </row>
    <row r="29" spans="1:5" x14ac:dyDescent="0.3">
      <c r="C29" s="25"/>
      <c r="D29" s="23"/>
      <c r="E29" s="24"/>
    </row>
    <row r="30" spans="1:5" x14ac:dyDescent="0.3">
      <c r="C30" s="25"/>
      <c r="D30" s="23"/>
      <c r="E30" s="24"/>
    </row>
    <row r="31" spans="1:5" x14ac:dyDescent="0.3">
      <c r="C31" s="25"/>
      <c r="D31" s="23"/>
      <c r="E31" s="24"/>
    </row>
    <row r="32" spans="1:5" x14ac:dyDescent="0.3">
      <c r="C32" s="25"/>
      <c r="D32" s="23"/>
      <c r="E32" s="24"/>
    </row>
    <row r="33" spans="3:5" x14ac:dyDescent="0.3">
      <c r="C33" s="25"/>
      <c r="D33" s="23"/>
      <c r="E33" s="24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9:D33" xr:uid="{89B99E09-0507-4E9A-B13B-71AF9080FE7A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EEBC-503D-41FE-82E4-0B4722A49323}">
  <sheetPr codeName="Planilha4"/>
  <dimension ref="A1:A44"/>
  <sheetViews>
    <sheetView topLeftCell="A26" workbookViewId="0">
      <selection activeCell="A2" sqref="A2"/>
    </sheetView>
  </sheetViews>
  <sheetFormatPr defaultRowHeight="14.4" x14ac:dyDescent="0.3"/>
  <cols>
    <col min="1" max="1" width="43.109375" customWidth="1"/>
  </cols>
  <sheetData>
    <row r="1" spans="1:1" x14ac:dyDescent="0.3">
      <c r="A1" s="6" t="s">
        <v>73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44</v>
      </c>
    </row>
    <row r="17" spans="1:1" x14ac:dyDescent="0.3">
      <c r="A17" t="s">
        <v>45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56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59</v>
      </c>
    </row>
    <row r="32" spans="1:1" x14ac:dyDescent="0.3">
      <c r="A32" t="s">
        <v>60</v>
      </c>
    </row>
    <row r="33" spans="1:1" x14ac:dyDescent="0.3">
      <c r="A33" t="s">
        <v>61</v>
      </c>
    </row>
    <row r="34" spans="1:1" x14ac:dyDescent="0.3">
      <c r="A34" t="s">
        <v>62</v>
      </c>
    </row>
    <row r="35" spans="1:1" x14ac:dyDescent="0.3">
      <c r="A35" t="s">
        <v>63</v>
      </c>
    </row>
    <row r="36" spans="1:1" x14ac:dyDescent="0.3">
      <c r="A36" t="s">
        <v>64</v>
      </c>
    </row>
    <row r="37" spans="1:1" x14ac:dyDescent="0.3">
      <c r="A37" t="s">
        <v>65</v>
      </c>
    </row>
    <row r="38" spans="1:1" x14ac:dyDescent="0.3">
      <c r="A38" t="s">
        <v>66</v>
      </c>
    </row>
    <row r="39" spans="1:1" x14ac:dyDescent="0.3">
      <c r="A39" t="s">
        <v>67</v>
      </c>
    </row>
    <row r="40" spans="1:1" x14ac:dyDescent="0.3">
      <c r="A40" t="s">
        <v>68</v>
      </c>
    </row>
    <row r="41" spans="1:1" x14ac:dyDescent="0.3">
      <c r="A41" t="s">
        <v>69</v>
      </c>
    </row>
    <row r="42" spans="1:1" x14ac:dyDescent="0.3">
      <c r="A42" t="s">
        <v>70</v>
      </c>
    </row>
    <row r="43" spans="1:1" x14ac:dyDescent="0.3">
      <c r="A43" t="s">
        <v>71</v>
      </c>
    </row>
    <row r="44" spans="1:1" x14ac:dyDescent="0.3">
      <c r="A44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RODRIGUES DOS SANTOS</dc:creator>
  <cp:lastModifiedBy>Diogo Hero</cp:lastModifiedBy>
  <dcterms:created xsi:type="dcterms:W3CDTF">2026-02-11T12:29:50Z</dcterms:created>
  <dcterms:modified xsi:type="dcterms:W3CDTF">2026-02-11T21:30:54Z</dcterms:modified>
</cp:coreProperties>
</file>